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-A007-17\Desktop\Statystyczne Badania Problemów Społecznych\18.10.2026\Zadanie 2\"/>
    </mc:Choice>
  </mc:AlternateContent>
  <xr:revisionPtr revIDLastSave="0" documentId="13_ncr:1_{12776FDF-FD72-42DE-B2DF-52F49C043B4A}" xr6:coauthVersionLast="47" xr6:coauthVersionMax="47" xr10:uidLastSave="{00000000-0000-0000-0000-000000000000}"/>
  <bookViews>
    <workbookView xWindow="4245" yWindow="1530" windowWidth="21600" windowHeight="11295" xr2:uid="{23A88A6C-AF9A-4EE7-BFC0-14DBBC8FBEB3}"/>
  </bookViews>
  <sheets>
    <sheet name="Arkusz1" sheetId="1" r:id="rId1"/>
  </sheets>
  <calcPr calcId="1142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1" l="1"/>
  <c r="L13" i="1"/>
  <c r="K13" i="1"/>
  <c r="I13" i="1"/>
  <c r="H13" i="1"/>
  <c r="G13" i="1"/>
  <c r="D6" i="1"/>
  <c r="D2" i="1"/>
</calcChain>
</file>

<file path=xl/sharedStrings.xml><?xml version="1.0" encoding="utf-8"?>
<sst xmlns="http://schemas.openxmlformats.org/spreadsheetml/2006/main" count="32" uniqueCount="24">
  <si>
    <t>Średnia</t>
  </si>
  <si>
    <t>Suma</t>
  </si>
  <si>
    <t>Współczynnik Giniego</t>
  </si>
  <si>
    <t>Indeks Theila</t>
  </si>
  <si>
    <t>maks. indeks dla próby:</t>
  </si>
  <si>
    <t xml:space="preserve"> </t>
  </si>
  <si>
    <t xml:space="preserve">Tabela przekrojów statystyk opisowych (Zajęcia 1)
N=1119  (Zmienne zależne nie zawierają BD) </t>
  </si>
  <si>
    <t>Płeć</t>
  </si>
  <si>
    <t>1</t>
  </si>
  <si>
    <t>2</t>
  </si>
  <si>
    <t>3</t>
  </si>
  <si>
    <t xml:space="preserve">Ogół    </t>
  </si>
  <si>
    <t>WydNO
średnia</t>
  </si>
  <si>
    <t>WydNO
ważnych</t>
  </si>
  <si>
    <t>WydNO
odch. Stand.</t>
  </si>
  <si>
    <t>waga dla kobiet</t>
  </si>
  <si>
    <t>waga dla mężczyzn</t>
  </si>
  <si>
    <t>Tb</t>
  </si>
  <si>
    <t>Tk mężczyźni</t>
  </si>
  <si>
    <t>Tk kobiety</t>
  </si>
  <si>
    <t>Do Theila
ważnych</t>
  </si>
  <si>
    <t>Do Theila
suma</t>
  </si>
  <si>
    <t>Do Theila
odch. Stand.</t>
  </si>
  <si>
    <t>Do Theila
średnia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</si>
</sst>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00"/>
  </numFmts>
  <fonts count="3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68" fontId="2" fillId="0" borderId="0" xfId="1" applyNumberFormat="1" applyFont="1" applyAlignment="1">
      <alignment horizontal="right" vertical="center"/>
    </xf>
    <xf numFmtId="1" fontId="2" fillId="0" borderId="0" xfId="1" applyNumberFormat="1" applyFont="1" applyAlignment="1">
      <alignment horizontal="right" vertical="center"/>
    </xf>
    <xf numFmtId="169" fontId="2" fillId="0" borderId="0" xfId="1" applyNumberFormat="1" applyFont="1" applyAlignment="1">
      <alignment horizontal="right" vertical="center"/>
    </xf>
    <xf numFmtId="0" fontId="2" fillId="0" borderId="0" xfId="1" applyNumberFormat="1" applyFont="1" applyAlignment="1">
      <alignment horizontal="left"/>
    </xf>
    <xf numFmtId="0" fontId="2" fillId="0" borderId="0" xfId="1" applyNumberFormat="1" applyFont="1" applyAlignment="1">
      <alignment horizontal="left" vertical="top"/>
    </xf>
    <xf numFmtId="0" fontId="1" fillId="0" borderId="0" xfId="1"/>
    <xf numFmtId="0" fontId="2" fillId="0" borderId="0" xfId="1" applyNumberFormat="1" applyFont="1" applyAlignment="1">
      <alignment horizontal="center" vertical="top" wrapText="1"/>
    </xf>
    <xf numFmtId="0" fontId="2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1" applyNumberFormat="1" applyFont="1" applyAlignment="1">
      <alignment horizontal="left" vertical="center"/>
    </xf>
    <xf numFmtId="0" fontId="2" fillId="0" borderId="0" xfId="1" applyNumberFormat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0" fontId="2" fillId="0" borderId="0" xfId="1" applyNumberFormat="1" applyFont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169" fontId="2" fillId="2" borderId="0" xfId="1" applyNumberFormat="1" applyFont="1" applyFill="1" applyAlignment="1">
      <alignment horizontal="right" vertical="center"/>
    </xf>
  </cellXfs>
  <cellStyles count="2">
    <cellStyle name="Normalny" xfId="0" builtinId="0"/>
    <cellStyle name="Normalny_Arkusz1" xfId="1" xr:uid="{029A4BC9-3FF9-4030-89B6-469D98AA0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C797-EBCA-4D93-839F-7E79C5DFEADB}">
  <dimension ref="A1:L21"/>
  <sheetViews>
    <sheetView tabSelected="1" workbookViewId="0">
      <selection activeCell="L10" sqref="L10"/>
    </sheetView>
  </sheetViews>
  <sheetFormatPr defaultRowHeight="15" x14ac:dyDescent="0.25"/>
  <cols>
    <col min="1" max="1" width="8.5703125" style="9" bestFit="1" customWidth="1"/>
    <col min="2" max="2" width="10" style="9" bestFit="1" customWidth="1"/>
    <col min="3" max="3" width="22.42578125" style="9" bestFit="1" customWidth="1"/>
    <col min="4" max="4" width="20.5703125" style="9" bestFit="1" customWidth="1"/>
    <col min="5" max="5" width="14.7109375" style="9" bestFit="1" customWidth="1"/>
    <col min="6" max="6" width="11.5703125" style="9" bestFit="1" customWidth="1"/>
    <col min="7" max="7" width="15.140625" style="9" bestFit="1" customWidth="1"/>
    <col min="8" max="8" width="12.140625" style="9" bestFit="1" customWidth="1"/>
    <col min="9" max="9" width="9.140625" style="9"/>
    <col min="10" max="10" width="12.28515625" style="9" bestFit="1" customWidth="1"/>
    <col min="11" max="11" width="9.7109375" style="9" bestFit="1" customWidth="1"/>
    <col min="12" max="12" width="12.7109375" style="9" bestFit="1" customWidth="1"/>
    <col min="13" max="16384" width="9.140625" style="9"/>
  </cols>
  <sheetData>
    <row r="1" spans="1:12" x14ac:dyDescent="0.25">
      <c r="A1" s="9" t="s">
        <v>0</v>
      </c>
      <c r="B1" s="9" t="s">
        <v>1</v>
      </c>
      <c r="D1" s="9" t="s">
        <v>2</v>
      </c>
    </row>
    <row r="2" spans="1:12" x14ac:dyDescent="0.25">
      <c r="A2" s="1">
        <v>1010.3772554931414</v>
      </c>
      <c r="B2" s="2">
        <v>423153498.54208726</v>
      </c>
      <c r="D2" s="9">
        <f>B2/((1119^2)*A2)</f>
        <v>0.3344677137133496</v>
      </c>
    </row>
    <row r="3" spans="1:12" x14ac:dyDescent="0.25">
      <c r="A3" s="1"/>
      <c r="B3" s="2"/>
    </row>
    <row r="4" spans="1:12" x14ac:dyDescent="0.25">
      <c r="D4" s="16" t="s">
        <v>3</v>
      </c>
    </row>
    <row r="5" spans="1:12" x14ac:dyDescent="0.25">
      <c r="D5" s="17">
        <v>0.20394712290264108</v>
      </c>
    </row>
    <row r="6" spans="1:12" x14ac:dyDescent="0.25">
      <c r="C6" s="9" t="s">
        <v>4</v>
      </c>
      <c r="D6" s="9">
        <f>LN(1119)</f>
        <v>7.020190708311925</v>
      </c>
    </row>
    <row r="11" spans="1:12" ht="34.5" customHeight="1" x14ac:dyDescent="0.25">
      <c r="A11" s="10" t="s">
        <v>5</v>
      </c>
      <c r="B11" s="11" t="s">
        <v>6</v>
      </c>
      <c r="C11" s="12"/>
      <c r="D11" s="12"/>
      <c r="E11" s="12"/>
    </row>
    <row r="12" spans="1:12" ht="27.75" customHeight="1" x14ac:dyDescent="0.25">
      <c r="A12" s="13"/>
      <c r="B12" s="14" t="s">
        <v>7</v>
      </c>
      <c r="C12" s="14" t="s">
        <v>12</v>
      </c>
      <c r="D12" s="14" t="s">
        <v>13</v>
      </c>
      <c r="E12" s="14" t="s">
        <v>14</v>
      </c>
      <c r="G12" s="15" t="s">
        <v>16</v>
      </c>
      <c r="H12" s="15" t="s">
        <v>15</v>
      </c>
      <c r="I12" s="9" t="s">
        <v>17</v>
      </c>
      <c r="J12" s="9" t="s">
        <v>18</v>
      </c>
      <c r="K12" s="9" t="s">
        <v>19</v>
      </c>
      <c r="L12" s="16" t="s">
        <v>3</v>
      </c>
    </row>
    <row r="13" spans="1:12" x14ac:dyDescent="0.25">
      <c r="A13" s="8" t="s">
        <v>8</v>
      </c>
      <c r="B13" s="8">
        <v>1</v>
      </c>
      <c r="C13" s="3">
        <v>986.64871304525877</v>
      </c>
      <c r="D13" s="2">
        <v>659</v>
      </c>
      <c r="E13" s="3">
        <v>821.00279209368432</v>
      </c>
      <c r="G13" s="9">
        <f>(D13*C13)/(D15*C15)</f>
        <v>0.57508801982293256</v>
      </c>
      <c r="H13" s="9">
        <f>(D14*C14)/(D15*C15)</f>
        <v>0.42491198017706761</v>
      </c>
      <c r="I13" s="9">
        <f>(((C13/C15)*D13*LN(C13/C15))+((C14/C15)*D14*LN(C14/C15)))/1119</f>
        <v>3.9378890636212213E-4</v>
      </c>
      <c r="J13" s="9">
        <f>E19/D19</f>
        <v>0.18380908255995199</v>
      </c>
      <c r="K13" s="9">
        <f>E20/D20</f>
        <v>0.23279705461097169</v>
      </c>
      <c r="L13" s="16">
        <f>(G13*J13)+(H13*K13)+I13</f>
        <v>0.20501844767537178</v>
      </c>
    </row>
    <row r="14" spans="1:12" x14ac:dyDescent="0.25">
      <c r="A14" s="8" t="s">
        <v>9</v>
      </c>
      <c r="B14" s="8">
        <v>0</v>
      </c>
      <c r="C14" s="3">
        <v>1044.3709717391291</v>
      </c>
      <c r="D14" s="2">
        <v>460</v>
      </c>
      <c r="E14" s="3">
        <v>745.09170132152099</v>
      </c>
    </row>
    <row r="15" spans="1:12" x14ac:dyDescent="0.25">
      <c r="A15" s="8" t="s">
        <v>10</v>
      </c>
      <c r="B15" s="8" t="s">
        <v>11</v>
      </c>
      <c r="C15" s="3">
        <v>1010.3772554931411</v>
      </c>
      <c r="D15" s="2">
        <v>1119</v>
      </c>
      <c r="E15" s="3">
        <v>790.84870868520704</v>
      </c>
    </row>
    <row r="17" spans="1:6" x14ac:dyDescent="0.2">
      <c r="A17" s="4" t="s">
        <v>5</v>
      </c>
      <c r="B17" s="5" t="s">
        <v>6</v>
      </c>
      <c r="C17" s="6"/>
      <c r="D17" s="6"/>
      <c r="E17" s="6"/>
      <c r="F17" s="6"/>
    </row>
    <row r="18" spans="1:6" ht="25.5" x14ac:dyDescent="0.25">
      <c r="A18" s="6"/>
      <c r="B18" s="7" t="s">
        <v>7</v>
      </c>
      <c r="C18" s="7" t="s">
        <v>23</v>
      </c>
      <c r="D18" s="7" t="s">
        <v>20</v>
      </c>
      <c r="E18" s="7" t="s">
        <v>21</v>
      </c>
      <c r="F18" s="7" t="s">
        <v>22</v>
      </c>
    </row>
    <row r="19" spans="1:6" x14ac:dyDescent="0.25">
      <c r="A19" s="8" t="s">
        <v>8</v>
      </c>
      <c r="B19" s="8">
        <v>1</v>
      </c>
      <c r="C19" s="3">
        <v>0.18380908255995199</v>
      </c>
      <c r="D19" s="2">
        <v>659</v>
      </c>
      <c r="E19" s="3">
        <v>121.13018540700836</v>
      </c>
      <c r="F19" s="3">
        <v>1.6842951813389204</v>
      </c>
    </row>
    <row r="20" spans="1:6" x14ac:dyDescent="0.25">
      <c r="A20" s="8" t="s">
        <v>9</v>
      </c>
      <c r="B20" s="8">
        <v>0</v>
      </c>
      <c r="C20" s="3">
        <v>0.23279705461097169</v>
      </c>
      <c r="D20" s="2">
        <v>460</v>
      </c>
      <c r="E20" s="3">
        <v>107.08664512104698</v>
      </c>
      <c r="F20" s="3">
        <v>1.2176021862397819</v>
      </c>
    </row>
    <row r="21" spans="1:6" x14ac:dyDescent="0.25">
      <c r="A21" s="8" t="s">
        <v>10</v>
      </c>
      <c r="B21" s="8" t="s">
        <v>11</v>
      </c>
      <c r="C21" s="3">
        <v>0.20394712290264105</v>
      </c>
      <c r="D21" s="2">
        <v>1119</v>
      </c>
      <c r="E21" s="3">
        <v>228.21683052805534</v>
      </c>
      <c r="F21" s="3">
        <v>1.5095967222770006</v>
      </c>
    </row>
  </sheetData>
  <mergeCells count="4">
    <mergeCell ref="A11:A12"/>
    <mergeCell ref="B11:E11"/>
    <mergeCell ref="A17:A18"/>
    <mergeCell ref="B17:F17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s-A007-17</dc:creator>
  <cp:lastModifiedBy>s-A007-17</cp:lastModifiedBy>
  <dcterms:created xsi:type="dcterms:W3CDTF">2026-10-18T12:59:07Z</dcterms:created>
  <dcterms:modified xsi:type="dcterms:W3CDTF">2026-10-18T13:44:13Z</dcterms:modified>
</cp:coreProperties>
</file>